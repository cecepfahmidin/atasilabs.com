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irfanaulia/Documents/Atasilabs/"/>
    </mc:Choice>
  </mc:AlternateContent>
  <xr:revisionPtr revIDLastSave="0" documentId="13_ncr:1_{AD90E006-BB47-0945-8B41-456B61294080}" xr6:coauthVersionLast="47" xr6:coauthVersionMax="47" xr10:uidLastSave="{00000000-0000-0000-0000-000000000000}"/>
  <bookViews>
    <workbookView xWindow="0" yWindow="460" windowWidth="23260" windowHeight="12460" xr2:uid="{8DEFF28D-28D4-465B-AB11-F7009945A1FE}"/>
  </bookViews>
  <sheets>
    <sheet name="HPP" sheetId="1" r:id="rId1"/>
    <sheet name="Komparatif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26" i="1" l="1"/>
  <c r="D35" i="1"/>
  <c r="D53" i="1"/>
  <c r="D44" i="1"/>
  <c r="F13" i="1"/>
  <c r="G13" i="1" s="1"/>
  <c r="F14" i="1"/>
  <c r="G14" i="1" s="1"/>
  <c r="F15" i="1"/>
  <c r="G15" i="1" s="1"/>
  <c r="F12" i="1"/>
  <c r="G12" i="1" s="1"/>
  <c r="C48" i="1" l="1"/>
  <c r="E48" i="1" s="1"/>
  <c r="C30" i="1"/>
  <c r="C39" i="1"/>
  <c r="E39" i="1" s="1"/>
  <c r="C21" i="1"/>
  <c r="C49" i="1" l="1"/>
  <c r="E49" i="1" s="1"/>
  <c r="C40" i="1"/>
  <c r="E40" i="1" s="1"/>
  <c r="C31" i="1"/>
  <c r="E30" i="1"/>
  <c r="E21" i="1"/>
  <c r="C22" i="1"/>
  <c r="C50" i="1" l="1"/>
  <c r="C51" i="1" s="1"/>
  <c r="C41" i="1"/>
  <c r="E31" i="1"/>
  <c r="C32" i="1"/>
  <c r="E41" i="1"/>
  <c r="C42" i="1"/>
  <c r="E22" i="1"/>
  <c r="C23" i="1"/>
  <c r="E51" i="1" l="1"/>
  <c r="C52" i="1"/>
  <c r="E52" i="1" s="1"/>
  <c r="E50" i="1"/>
  <c r="E42" i="1"/>
  <c r="C43" i="1"/>
  <c r="E43" i="1" s="1"/>
  <c r="C33" i="1"/>
  <c r="E32" i="1"/>
  <c r="C24" i="1"/>
  <c r="E23" i="1"/>
  <c r="E33" i="1" l="1"/>
  <c r="C34" i="1"/>
  <c r="E34" i="1" s="1"/>
  <c r="E24" i="1"/>
  <c r="C25" i="1"/>
  <c r="E25" i="1" s="1"/>
  <c r="E53" i="1"/>
  <c r="F53" i="1" s="1"/>
  <c r="E44" i="1"/>
  <c r="F44" i="1" s="1"/>
  <c r="E26" i="1" l="1"/>
  <c r="F26" i="1" s="1"/>
  <c r="E35" i="1"/>
  <c r="F35" i="1" s="1"/>
</calcChain>
</file>

<file path=xl/sharedStrings.xml><?xml version="1.0" encoding="utf-8"?>
<sst xmlns="http://schemas.openxmlformats.org/spreadsheetml/2006/main" count="103" uniqueCount="64">
  <si>
    <t>Upah Developer / Mitra Mahasiswa</t>
  </si>
  <si>
    <t>Komponen Biaya</t>
  </si>
  <si>
    <t>Tier 1: Starter</t>
  </si>
  <si>
    <t>Tier 2: Growth</t>
  </si>
  <si>
    <t>Domain &amp; Hosting / Server</t>
  </si>
  <si>
    <t>QA, Deployment &amp; Cadangan Revisi</t>
  </si>
  <si>
    <t>Total HPP per Proyek</t>
  </si>
  <si>
    <r>
      <t xml:space="preserve">Rp200.000 </t>
    </r>
    <r>
      <rPr>
        <i/>
        <sz val="11"/>
        <color theme="1"/>
        <rFont val="Arial"/>
        <family val="2"/>
      </rPr>
      <t>(Domain Rp200rb + Vercel Hobby Rp0)</t>
    </r>
  </si>
  <si>
    <r>
      <t xml:space="preserve">Rp2.600.000 – Rp5.000.000 </t>
    </r>
    <r>
      <rPr>
        <i/>
        <sz val="11"/>
        <color theme="1"/>
        <rFont val="Arial"/>
        <family val="2"/>
      </rPr>
      <t>(Domain Rp200rb + Cloud VPS 1 Thn Rp2,4jt – Rp4,8jt)</t>
    </r>
  </si>
  <si>
    <r>
      <t xml:space="preserve">Rp10.000.000 – Rp20.000.000 </t>
    </r>
    <r>
      <rPr>
        <i/>
        <sz val="11"/>
        <color theme="1"/>
        <rFont val="Arial"/>
        <family val="2"/>
      </rPr>
      <t>(Full team: UI/UX, Frontend &amp; Backend custom, 1–2 bulan)</t>
    </r>
  </si>
  <si>
    <t>Rp13.600.000 – Rp26.000.000</t>
  </si>
  <si>
    <r>
      <t xml:space="preserve">Rp25.000 </t>
    </r>
    <r>
      <rPr>
        <i/>
        <sz val="11"/>
        <color theme="1"/>
        <rFont val="Arial"/>
        <family val="2"/>
      </rPr>
      <t>(Domain Rp25rb + Vercel Hobby Rp0)</t>
    </r>
  </si>
  <si>
    <t>1-2 halaman</t>
  </si>
  <si>
    <t>4-7 halaman</t>
  </si>
  <si>
    <t>Tier 3: Profesional</t>
  </si>
  <si>
    <t>Tier 4: Enterprise</t>
  </si>
  <si>
    <t>Tier 5: Elite</t>
  </si>
  <si>
    <r>
      <t xml:space="preserve">Rp600.000 </t>
    </r>
    <r>
      <rPr>
        <i/>
        <sz val="11"/>
        <color theme="1"/>
        <rFont val="Arial"/>
        <family val="2"/>
      </rPr>
      <t>(1 Mid-level dev, custom CMS 7 hari)</t>
    </r>
  </si>
  <si>
    <r>
      <t xml:space="preserve">Rp150.000 </t>
    </r>
    <r>
      <rPr>
        <i/>
        <sz val="11"/>
        <color theme="1"/>
        <rFont val="Arial"/>
        <family val="2"/>
      </rPr>
      <t>(1 Junior dev/intern, pengerjaan template 2 hari)</t>
    </r>
  </si>
  <si>
    <r>
      <t xml:space="preserve">Rp900.000 </t>
    </r>
    <r>
      <rPr>
        <i/>
        <sz val="11"/>
        <color theme="1"/>
        <rFont val="Arial"/>
        <family val="2"/>
      </rPr>
      <t>(1 Senior dev, integrasi e-commerce &amp; payment 2 minggu)</t>
    </r>
  </si>
  <si>
    <r>
      <t xml:space="preserve">Rp250.000 </t>
    </r>
    <r>
      <rPr>
        <i/>
        <sz val="11"/>
        <color theme="1"/>
        <rFont val="Arial"/>
        <family val="2"/>
      </rPr>
      <t>(1 Junior dev/intern, pengerjaan template 3 hari)</t>
    </r>
  </si>
  <si>
    <t>Biaya Pemasaran</t>
  </si>
  <si>
    <t>Dana Pengembangan Usaha</t>
  </si>
  <si>
    <t>Biaya Operasional</t>
  </si>
  <si>
    <t>Klaster</t>
  </si>
  <si>
    <t>Starter</t>
  </si>
  <si>
    <t>Growth</t>
  </si>
  <si>
    <t>Profesional</t>
  </si>
  <si>
    <t>Enterprise</t>
  </si>
  <si>
    <t>Elite</t>
  </si>
  <si>
    <t>HPP</t>
  </si>
  <si>
    <t>(-)</t>
  </si>
  <si>
    <t>% Laba Kotor</t>
  </si>
  <si>
    <t>Laba Kotor</t>
  </si>
  <si>
    <t>Waktu Pengerjaan</t>
  </si>
  <si>
    <t>2 Hari</t>
  </si>
  <si>
    <t>3 Hari</t>
  </si>
  <si>
    <t>7 Hari</t>
  </si>
  <si>
    <t>14 hari</t>
  </si>
  <si>
    <t>% Peruntukan</t>
  </si>
  <si>
    <t>Dana Mitigasi/Taktis</t>
  </si>
  <si>
    <t xml:space="preserve">Total </t>
  </si>
  <si>
    <t>1. Klaster Starter</t>
  </si>
  <si>
    <t>2. Klaster Growth</t>
  </si>
  <si>
    <t>3. Klaster Profesional</t>
  </si>
  <si>
    <t>4. Klaster Enterprise</t>
  </si>
  <si>
    <t>Zakat</t>
  </si>
  <si>
    <t>Harga Jual (normal)</t>
  </si>
  <si>
    <t>Harga Jual ke Klien (online)</t>
  </si>
  <si>
    <t>Estimasi Laba Bersih</t>
  </si>
  <si>
    <t>Spesifikasi</t>
  </si>
  <si>
    <t>Harga</t>
  </si>
  <si>
    <t>Nama Klaster</t>
  </si>
  <si>
    <t>Minisite</t>
  </si>
  <si>
    <t>Standart</t>
  </si>
  <si>
    <t>Medium</t>
  </si>
  <si>
    <t>Custom</t>
  </si>
  <si>
    <r>
      <rPr>
        <b/>
        <sz val="12"/>
        <color theme="1"/>
        <rFont val="Calibri"/>
        <family val="2"/>
        <scheme val="minor"/>
      </rPr>
      <t>Domain:</t>
    </r>
    <r>
      <rPr>
        <sz val="12"/>
        <color theme="1"/>
        <rFont val="Calibri"/>
        <family val="2"/>
        <scheme val="minor"/>
      </rPr>
      <t xml:space="preserve"> my.id/web.id</t>
    </r>
  </si>
  <si>
    <r>
      <rPr>
        <b/>
        <sz val="12"/>
        <color theme="1"/>
        <rFont val="Calibri"/>
        <family val="2"/>
        <scheme val="minor"/>
      </rPr>
      <t>Halaman:</t>
    </r>
    <r>
      <rPr>
        <sz val="12"/>
        <color theme="1"/>
        <rFont val="Calibri"/>
        <family val="2"/>
        <scheme val="minor"/>
      </rPr>
      <t xml:space="preserve"> 1 Halaman</t>
    </r>
  </si>
  <si>
    <r>
      <rPr>
        <b/>
        <sz val="12"/>
        <color theme="1"/>
        <rFont val="Calibri"/>
        <family val="2"/>
        <scheme val="minor"/>
      </rPr>
      <t>Desain:</t>
    </r>
    <r>
      <rPr>
        <sz val="12"/>
        <color theme="1"/>
        <rFont val="Calibri"/>
        <family val="2"/>
        <scheme val="minor"/>
      </rPr>
      <t xml:space="preserve"> Desain Simple</t>
    </r>
  </si>
  <si>
    <r>
      <rPr>
        <b/>
        <sz val="12"/>
        <color theme="1"/>
        <rFont val="Calibri"/>
        <family val="2"/>
        <scheme val="minor"/>
      </rPr>
      <t>Support:</t>
    </r>
    <r>
      <rPr>
        <sz val="12"/>
        <color theme="1"/>
        <rFont val="Calibri"/>
        <family val="2"/>
        <scheme val="minor"/>
      </rPr>
      <t xml:space="preserve"> Support &amp; Maintanance</t>
    </r>
  </si>
  <si>
    <r>
      <rPr>
        <b/>
        <sz val="12"/>
        <color theme="1"/>
        <rFont val="Calibri"/>
        <family val="2"/>
        <scheme val="minor"/>
      </rPr>
      <t>Email:</t>
    </r>
    <r>
      <rPr>
        <sz val="12"/>
        <color theme="1"/>
        <rFont val="Calibri"/>
        <family val="2"/>
        <scheme val="minor"/>
      </rPr>
      <t xml:space="preserve"> 2 Account</t>
    </r>
  </si>
  <si>
    <r>
      <rPr>
        <b/>
        <sz val="12"/>
        <color theme="1"/>
        <rFont val="Calibri"/>
        <family val="2"/>
        <scheme val="minor"/>
      </rPr>
      <t>Garansi:</t>
    </r>
    <r>
      <rPr>
        <sz val="12"/>
        <color theme="1"/>
        <rFont val="Calibri"/>
        <family val="2"/>
        <scheme val="minor"/>
      </rPr>
      <t xml:space="preserve"> Full 1 Tahun</t>
    </r>
  </si>
  <si>
    <t>Web Developer Jojga (Instagram) / Folowers: 1195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</si>
</sst>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&quot;Rp&quot;#,##0;[Red]\-&quot;Rp&quot;#,##0"/>
    <numFmt numFmtId="167" formatCode="_-[$Rp-421]* #,##0.00_-;\-[$Rp-421]* #,##0.00_-;_-[$Rp-421]* &quot;-&quot;??_-;_-@_-"/>
    <numFmt numFmtId="168" formatCode="0.0%"/>
  </numFmts>
  <fonts count="8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i/>
      <sz val="11"/>
      <color theme="1"/>
      <name val="Arial"/>
      <family val="2"/>
    </font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9">
    <border>
      <left/>
      <right/>
      <top/>
      <bottom/>
      <diagonal/>
    </border>
    <border>
      <left style="medium">
        <color rgb="FFC4C7C5"/>
      </left>
      <right style="medium">
        <color rgb="FFC4C7C5"/>
      </right>
      <top style="medium">
        <color rgb="FFC4C7C5"/>
      </top>
      <bottom style="medium">
        <color rgb="FFC4C7C5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9" fontId="5" fillId="0" borderId="0" applyFont="0" applyFill="0" applyBorder="0" applyAlignment="0" applyProtection="0"/>
  </cellStyleXfs>
  <cellXfs count="45">
    <xf numFmtId="0" fontId="0" fillId="0" borderId="0" xfId="0"/>
    <xf numFmtId="0" fontId="0" fillId="0" borderId="0" xfId="0" applyAlignment="1">
      <alignment horizontal="center" vertical="center"/>
    </xf>
    <xf numFmtId="0" fontId="2" fillId="0" borderId="1" xfId="0" applyFont="1" applyBorder="1" applyAlignment="1">
      <alignment horizontal="left" vertical="center" wrapText="1" indent="1"/>
    </xf>
    <xf numFmtId="0" fontId="3" fillId="0" borderId="1" xfId="0" applyFont="1" applyBorder="1" applyAlignment="1">
      <alignment horizontal="left" vertical="center" wrapText="1" indent="1"/>
    </xf>
    <xf numFmtId="164" fontId="3" fillId="0" borderId="1" xfId="0" applyNumberFormat="1" applyFont="1" applyBorder="1" applyAlignment="1">
      <alignment horizontal="left" vertical="center" wrapText="1" indent="1"/>
    </xf>
    <xf numFmtId="164" fontId="2" fillId="0" borderId="1" xfId="0" applyNumberFormat="1" applyFont="1" applyBorder="1" applyAlignment="1">
      <alignment horizontal="left" vertical="center" wrapText="1" indent="1"/>
    </xf>
    <xf numFmtId="0" fontId="1" fillId="0" borderId="0" xfId="0" applyFont="1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center" vertical="center"/>
    </xf>
    <xf numFmtId="9" fontId="1" fillId="0" borderId="0" xfId="1" applyFont="1" applyAlignment="1">
      <alignment horizontal="center"/>
    </xf>
    <xf numFmtId="0" fontId="6" fillId="0" borderId="0" xfId="0" applyFont="1" applyAlignment="1">
      <alignment horizontal="center"/>
    </xf>
    <xf numFmtId="0" fontId="7" fillId="2" borderId="2" xfId="0" applyFont="1" applyFill="1" applyBorder="1" applyAlignment="1">
      <alignment horizontal="center" vertical="center" wrapText="1"/>
    </xf>
    <xf numFmtId="0" fontId="6" fillId="2" borderId="2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left"/>
    </xf>
    <xf numFmtId="167" fontId="1" fillId="0" borderId="2" xfId="1" applyNumberFormat="1" applyFont="1" applyBorder="1" applyAlignment="1">
      <alignment horizontal="center"/>
    </xf>
    <xf numFmtId="9" fontId="0" fillId="0" borderId="2" xfId="1" applyFont="1" applyBorder="1" applyAlignment="1">
      <alignment horizontal="center"/>
    </xf>
    <xf numFmtId="167" fontId="0" fillId="0" borderId="2" xfId="0" applyNumberFormat="1" applyBorder="1"/>
    <xf numFmtId="9" fontId="1" fillId="0" borderId="2" xfId="1" applyFont="1" applyBorder="1" applyAlignment="1">
      <alignment horizontal="center"/>
    </xf>
    <xf numFmtId="164" fontId="1" fillId="0" borderId="2" xfId="1" applyNumberFormat="1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0" xfId="0" applyFont="1" applyBorder="1" applyAlignment="1">
      <alignment horizontal="left"/>
    </xf>
    <xf numFmtId="0" fontId="1" fillId="0" borderId="0" xfId="0" applyFont="1" applyBorder="1" applyAlignment="1">
      <alignment horizontal="center"/>
    </xf>
    <xf numFmtId="164" fontId="1" fillId="0" borderId="0" xfId="1" applyNumberFormat="1" applyFont="1" applyBorder="1" applyAlignment="1">
      <alignment horizontal="center"/>
    </xf>
    <xf numFmtId="0" fontId="6" fillId="0" borderId="0" xfId="0" applyFont="1"/>
    <xf numFmtId="167" fontId="1" fillId="0" borderId="2" xfId="0" applyNumberFormat="1" applyFont="1" applyBorder="1"/>
    <xf numFmtId="167" fontId="6" fillId="0" borderId="2" xfId="0" applyNumberFormat="1" applyFont="1" applyBorder="1" applyAlignment="1">
      <alignment horizontal="center"/>
    </xf>
    <xf numFmtId="168" fontId="1" fillId="0" borderId="2" xfId="1" applyNumberFormat="1" applyFont="1" applyBorder="1" applyAlignment="1">
      <alignment horizontal="center"/>
    </xf>
    <xf numFmtId="9" fontId="1" fillId="0" borderId="2" xfId="1" applyNumberFormat="1" applyFont="1" applyBorder="1" applyAlignment="1">
      <alignment horizontal="center"/>
    </xf>
    <xf numFmtId="9" fontId="1" fillId="3" borderId="2" xfId="0" applyNumberFormat="1" applyFont="1" applyFill="1" applyBorder="1" applyAlignment="1">
      <alignment horizontal="center"/>
    </xf>
    <xf numFmtId="0" fontId="6" fillId="0" borderId="2" xfId="0" applyFont="1" applyBorder="1" applyAlignment="1">
      <alignment horizontal="left"/>
    </xf>
    <xf numFmtId="0" fontId="1" fillId="0" borderId="2" xfId="0" applyFont="1" applyBorder="1"/>
    <xf numFmtId="0" fontId="6" fillId="3" borderId="2" xfId="0" applyFont="1" applyFill="1" applyBorder="1" applyAlignment="1">
      <alignment horizontal="center" vertical="center"/>
    </xf>
    <xf numFmtId="167" fontId="0" fillId="0" borderId="0" xfId="0" applyNumberFormat="1" applyAlignment="1">
      <alignment horizontal="center" vertical="center"/>
    </xf>
    <xf numFmtId="167" fontId="1" fillId="0" borderId="0" xfId="0" applyNumberFormat="1" applyFont="1" applyAlignment="1">
      <alignment horizontal="center" vertical="center"/>
    </xf>
    <xf numFmtId="0" fontId="6" fillId="0" borderId="3" xfId="0" applyFont="1" applyBorder="1" applyAlignment="1">
      <alignment horizontal="center"/>
    </xf>
    <xf numFmtId="0" fontId="1" fillId="0" borderId="2" xfId="0" applyFont="1" applyBorder="1" applyAlignment="1">
      <alignment wrapText="1"/>
    </xf>
    <xf numFmtId="167" fontId="1" fillId="0" borderId="7" xfId="1" applyNumberFormat="1" applyFont="1" applyBorder="1" applyAlignment="1">
      <alignment horizontal="center" vertical="center"/>
    </xf>
    <xf numFmtId="167" fontId="1" fillId="0" borderId="8" xfId="1" applyNumberFormat="1" applyFont="1" applyBorder="1" applyAlignment="1">
      <alignment horizontal="center" vertical="center"/>
    </xf>
    <xf numFmtId="167" fontId="1" fillId="0" borderId="3" xfId="1" applyNumberFormat="1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6" fillId="2" borderId="4" xfId="0" applyFont="1" applyFill="1" applyBorder="1" applyAlignment="1">
      <alignment horizontal="center" vertical="center"/>
    </xf>
    <xf numFmtId="0" fontId="6" fillId="2" borderId="5" xfId="0" applyFont="1" applyFill="1" applyBorder="1" applyAlignment="1">
      <alignment horizontal="center" vertical="center"/>
    </xf>
    <xf numFmtId="0" fontId="6" fillId="2" borderId="6" xfId="0" applyFont="1" applyFill="1" applyBorder="1" applyAlignment="1">
      <alignment horizontal="center" vertical="center"/>
    </xf>
  </cellXfs>
  <cellStyles count="2">
    <cellStyle name="Normal" xfId="0" builtinId="0"/>
    <cellStyle name="Per 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99871D-9F62-45C6-B954-FB7918945619}">
  <dimension ref="B2:M53"/>
  <sheetViews>
    <sheetView tabSelected="1" zoomScale="81" zoomScaleNormal="130" workbookViewId="0">
      <selection activeCell="I17" sqref="I17"/>
    </sheetView>
  </sheetViews>
  <sheetFormatPr baseColWidth="10" defaultColWidth="8.83203125" defaultRowHeight="15" x14ac:dyDescent="0.2"/>
  <cols>
    <col min="2" max="2" width="24.83203125" customWidth="1"/>
    <col min="3" max="3" width="28.5" customWidth="1"/>
    <col min="4" max="4" width="30.5" customWidth="1"/>
    <col min="5" max="6" width="28.5" customWidth="1"/>
    <col min="7" max="7" width="31.33203125" customWidth="1"/>
    <col min="8" max="8" width="28" style="1" customWidth="1"/>
    <col min="9" max="9" width="25.1640625" style="1" customWidth="1"/>
    <col min="10" max="10" width="25.33203125" style="1" customWidth="1"/>
    <col min="11" max="11" width="22" style="1" customWidth="1"/>
    <col min="12" max="12" width="22.1640625" style="1" bestFit="1" customWidth="1"/>
  </cols>
  <sheetData>
    <row r="2" spans="2:13" ht="16" thickBot="1" x14ac:dyDescent="0.25"/>
    <row r="3" spans="2:13" ht="16" thickBot="1" x14ac:dyDescent="0.25">
      <c r="B3" s="2" t="s">
        <v>1</v>
      </c>
      <c r="C3" s="2" t="s">
        <v>2</v>
      </c>
      <c r="D3" s="2" t="s">
        <v>3</v>
      </c>
      <c r="E3" s="2" t="s">
        <v>14</v>
      </c>
      <c r="F3" s="2" t="s">
        <v>15</v>
      </c>
      <c r="G3" s="2" t="s">
        <v>16</v>
      </c>
    </row>
    <row r="4" spans="2:13" ht="46" thickBot="1" x14ac:dyDescent="0.25">
      <c r="B4" s="2" t="s">
        <v>4</v>
      </c>
      <c r="C4" s="3" t="s">
        <v>11</v>
      </c>
      <c r="D4" s="3" t="s">
        <v>7</v>
      </c>
      <c r="E4" s="3" t="s">
        <v>7</v>
      </c>
      <c r="F4" s="3" t="s">
        <v>7</v>
      </c>
      <c r="G4" s="3" t="s">
        <v>8</v>
      </c>
    </row>
    <row r="5" spans="2:13" ht="46" thickBot="1" x14ac:dyDescent="0.25">
      <c r="B5" s="2" t="s">
        <v>0</v>
      </c>
      <c r="C5" s="3" t="s">
        <v>18</v>
      </c>
      <c r="D5" s="3" t="s">
        <v>20</v>
      </c>
      <c r="E5" s="3" t="s">
        <v>17</v>
      </c>
      <c r="F5" s="3" t="s">
        <v>19</v>
      </c>
      <c r="G5" s="3" t="s">
        <v>9</v>
      </c>
    </row>
    <row r="6" spans="2:13" ht="31" thickBot="1" x14ac:dyDescent="0.25">
      <c r="B6" s="2" t="s">
        <v>5</v>
      </c>
      <c r="C6" s="4">
        <v>50000</v>
      </c>
      <c r="D6" s="4">
        <v>50000</v>
      </c>
      <c r="E6" s="4">
        <v>100000</v>
      </c>
      <c r="F6" s="4">
        <v>200000</v>
      </c>
      <c r="G6" s="4">
        <v>1000000</v>
      </c>
    </row>
    <row r="7" spans="2:13" ht="16" thickBot="1" x14ac:dyDescent="0.25">
      <c r="B7" s="2" t="s">
        <v>6</v>
      </c>
      <c r="C7" s="5">
        <v>225000</v>
      </c>
      <c r="D7" s="5">
        <v>500000</v>
      </c>
      <c r="E7" s="5">
        <v>900000</v>
      </c>
      <c r="F7" s="5">
        <v>1300000</v>
      </c>
      <c r="G7" s="2" t="s">
        <v>10</v>
      </c>
    </row>
    <row r="8" spans="2:13" ht="16" x14ac:dyDescent="0.2">
      <c r="C8" s="10" t="s">
        <v>12</v>
      </c>
      <c r="D8" s="10" t="s">
        <v>13</v>
      </c>
    </row>
    <row r="11" spans="2:13" ht="31" customHeight="1" x14ac:dyDescent="0.2">
      <c r="B11" s="11" t="s">
        <v>24</v>
      </c>
      <c r="C11" s="11" t="s">
        <v>34</v>
      </c>
      <c r="D11" s="12" t="s">
        <v>30</v>
      </c>
      <c r="E11" s="12" t="s">
        <v>32</v>
      </c>
      <c r="F11" s="12" t="s">
        <v>33</v>
      </c>
      <c r="G11" s="12" t="s">
        <v>47</v>
      </c>
      <c r="H11" s="31" t="s">
        <v>48</v>
      </c>
      <c r="M11" s="1"/>
    </row>
    <row r="12" spans="2:13" ht="16" x14ac:dyDescent="0.2">
      <c r="B12" s="29" t="s">
        <v>25</v>
      </c>
      <c r="C12" s="19" t="s">
        <v>35</v>
      </c>
      <c r="D12" s="14">
        <v>225000</v>
      </c>
      <c r="E12" s="15">
        <v>0.75</v>
      </c>
      <c r="F12" s="16">
        <f>D12*E12</f>
        <v>168750</v>
      </c>
      <c r="G12" s="16">
        <f>D12+F12</f>
        <v>393750</v>
      </c>
      <c r="H12" s="16">
        <v>399000</v>
      </c>
      <c r="I12" s="32"/>
      <c r="M12" s="1"/>
    </row>
    <row r="13" spans="2:13" s="7" customFormat="1" ht="16" x14ac:dyDescent="0.2">
      <c r="B13" s="29" t="s">
        <v>26</v>
      </c>
      <c r="C13" s="19" t="s">
        <v>36</v>
      </c>
      <c r="D13" s="14">
        <v>500000</v>
      </c>
      <c r="E13" s="17">
        <v>0.5</v>
      </c>
      <c r="F13" s="16">
        <f t="shared" ref="F13:F15" si="0">D13*E13</f>
        <v>250000</v>
      </c>
      <c r="G13" s="16">
        <f t="shared" ref="G13:G15" si="1">D13+F13</f>
        <v>750000</v>
      </c>
      <c r="H13" s="16">
        <v>749000</v>
      </c>
      <c r="I13" s="33"/>
      <c r="J13" s="8"/>
      <c r="K13" s="8"/>
      <c r="L13" s="8"/>
      <c r="M13" s="8"/>
    </row>
    <row r="14" spans="2:13" s="7" customFormat="1" ht="16" x14ac:dyDescent="0.2">
      <c r="B14" s="29" t="s">
        <v>27</v>
      </c>
      <c r="C14" s="19" t="s">
        <v>37</v>
      </c>
      <c r="D14" s="14">
        <v>900000</v>
      </c>
      <c r="E14" s="17">
        <v>0.9</v>
      </c>
      <c r="F14" s="16">
        <f t="shared" si="0"/>
        <v>810000</v>
      </c>
      <c r="G14" s="16">
        <f t="shared" si="1"/>
        <v>1710000</v>
      </c>
      <c r="H14" s="16">
        <v>1699000</v>
      </c>
      <c r="I14" s="6"/>
      <c r="J14" s="8"/>
      <c r="K14" s="8"/>
      <c r="L14" s="8"/>
      <c r="M14" s="8"/>
    </row>
    <row r="15" spans="2:13" s="7" customFormat="1" ht="16" x14ac:dyDescent="0.2">
      <c r="B15" s="29" t="s">
        <v>28</v>
      </c>
      <c r="C15" s="19" t="s">
        <v>38</v>
      </c>
      <c r="D15" s="14">
        <v>1300000</v>
      </c>
      <c r="E15" s="17">
        <v>1.3</v>
      </c>
      <c r="F15" s="16">
        <f t="shared" si="0"/>
        <v>1690000</v>
      </c>
      <c r="G15" s="16">
        <f t="shared" si="1"/>
        <v>2990000</v>
      </c>
      <c r="H15" s="16">
        <v>2990000</v>
      </c>
      <c r="I15" s="9"/>
      <c r="J15" s="8"/>
      <c r="K15" s="8"/>
      <c r="L15" s="8"/>
      <c r="M15" s="8"/>
    </row>
    <row r="16" spans="2:13" s="7" customFormat="1" ht="16" x14ac:dyDescent="0.2">
      <c r="B16" s="29" t="s">
        <v>29</v>
      </c>
      <c r="C16" s="19" t="s">
        <v>31</v>
      </c>
      <c r="D16" s="18" t="s">
        <v>31</v>
      </c>
      <c r="E16" s="19" t="s">
        <v>31</v>
      </c>
      <c r="F16" s="19" t="s">
        <v>31</v>
      </c>
      <c r="G16" s="19" t="s">
        <v>31</v>
      </c>
      <c r="H16" s="19" t="s">
        <v>31</v>
      </c>
      <c r="I16" s="9"/>
      <c r="J16" s="8"/>
      <c r="K16" s="8"/>
      <c r="L16" s="8"/>
      <c r="M16" s="8"/>
    </row>
    <row r="17" spans="2:13" s="7" customFormat="1" ht="16" x14ac:dyDescent="0.2">
      <c r="B17" s="20"/>
      <c r="C17" s="21"/>
      <c r="D17" s="22"/>
      <c r="E17" s="21"/>
      <c r="F17" s="21"/>
      <c r="G17" s="21"/>
      <c r="I17" s="9"/>
      <c r="J17" s="8"/>
      <c r="K17" s="8"/>
      <c r="L17" s="8"/>
      <c r="M17" s="8"/>
    </row>
    <row r="18" spans="2:13" s="7" customFormat="1" ht="16" x14ac:dyDescent="0.2">
      <c r="B18" s="20"/>
      <c r="C18" s="21"/>
      <c r="D18" s="22"/>
      <c r="E18" s="21"/>
      <c r="F18" s="21"/>
      <c r="G18" s="21"/>
      <c r="I18" s="9"/>
      <c r="J18" s="8"/>
      <c r="K18" s="8"/>
      <c r="L18" s="8"/>
      <c r="M18" s="8"/>
    </row>
    <row r="19" spans="2:13" ht="16" x14ac:dyDescent="0.2">
      <c r="B19" s="23" t="s">
        <v>42</v>
      </c>
      <c r="G19" s="7"/>
      <c r="H19" s="9"/>
    </row>
    <row r="20" spans="2:13" ht="31" customHeight="1" x14ac:dyDescent="0.2">
      <c r="B20" s="11" t="s">
        <v>24</v>
      </c>
      <c r="C20" s="12" t="s">
        <v>33</v>
      </c>
      <c r="D20" s="12" t="s">
        <v>39</v>
      </c>
      <c r="E20" s="12" t="s">
        <v>41</v>
      </c>
      <c r="F20" s="12" t="s">
        <v>49</v>
      </c>
      <c r="G20" s="7"/>
    </row>
    <row r="21" spans="2:13" s="7" customFormat="1" ht="16" x14ac:dyDescent="0.2">
      <c r="B21" s="29" t="s">
        <v>21</v>
      </c>
      <c r="C21" s="14">
        <f>F12</f>
        <v>168750</v>
      </c>
      <c r="D21" s="26">
        <v>0.17499999999999999</v>
      </c>
      <c r="E21" s="24">
        <f>C21*D21</f>
        <v>29531.249999999996</v>
      </c>
      <c r="F21" s="24"/>
      <c r="H21" s="8"/>
      <c r="I21" s="8"/>
      <c r="J21" s="8"/>
      <c r="K21" s="8"/>
      <c r="L21" s="8"/>
    </row>
    <row r="22" spans="2:13" s="7" customFormat="1" ht="16" x14ac:dyDescent="0.2">
      <c r="B22" s="29" t="s">
        <v>23</v>
      </c>
      <c r="C22" s="14">
        <f>C21</f>
        <v>168750</v>
      </c>
      <c r="D22" s="27">
        <v>0.05</v>
      </c>
      <c r="E22" s="24">
        <f t="shared" ref="E22:E25" si="2">C22*D22</f>
        <v>8437.5</v>
      </c>
      <c r="F22" s="24"/>
      <c r="H22" s="8"/>
      <c r="I22" s="8"/>
      <c r="J22" s="8"/>
      <c r="K22" s="8"/>
      <c r="L22" s="8"/>
    </row>
    <row r="23" spans="2:13" s="7" customFormat="1" ht="16" x14ac:dyDescent="0.2">
      <c r="B23" s="29" t="s">
        <v>22</v>
      </c>
      <c r="C23" s="14">
        <f>C22</f>
        <v>168750</v>
      </c>
      <c r="D23" s="27">
        <v>0.1</v>
      </c>
      <c r="E23" s="24">
        <f t="shared" si="2"/>
        <v>16875</v>
      </c>
      <c r="F23" s="24"/>
      <c r="G23" s="6"/>
      <c r="H23" s="6"/>
      <c r="I23" s="8"/>
      <c r="J23" s="8"/>
      <c r="K23" s="8"/>
      <c r="L23" s="8"/>
    </row>
    <row r="24" spans="2:13" s="7" customFormat="1" ht="16" x14ac:dyDescent="0.2">
      <c r="B24" s="29" t="s">
        <v>40</v>
      </c>
      <c r="C24" s="14">
        <f>C23</f>
        <v>168750</v>
      </c>
      <c r="D24" s="27">
        <v>0.05</v>
      </c>
      <c r="E24" s="24">
        <f t="shared" si="2"/>
        <v>8437.5</v>
      </c>
      <c r="F24" s="24"/>
      <c r="H24" s="9"/>
      <c r="I24" s="8"/>
      <c r="J24" s="8"/>
      <c r="K24" s="8"/>
      <c r="L24" s="8"/>
    </row>
    <row r="25" spans="2:13" s="7" customFormat="1" ht="16" x14ac:dyDescent="0.2">
      <c r="B25" s="29" t="s">
        <v>46</v>
      </c>
      <c r="C25" s="14">
        <f>C24</f>
        <v>168750</v>
      </c>
      <c r="D25" s="26">
        <v>2.5000000000000001E-2</v>
      </c>
      <c r="E25" s="24">
        <f t="shared" si="2"/>
        <v>4218.75</v>
      </c>
      <c r="F25" s="24"/>
      <c r="H25" s="9"/>
      <c r="I25" s="8"/>
      <c r="J25" s="8"/>
      <c r="K25" s="8"/>
      <c r="L25" s="8"/>
    </row>
    <row r="26" spans="2:13" s="7" customFormat="1" ht="16" x14ac:dyDescent="0.2">
      <c r="B26" s="13"/>
      <c r="C26" s="18"/>
      <c r="D26" s="28">
        <f>SUM(D21:D25)</f>
        <v>0.39999999999999997</v>
      </c>
      <c r="E26" s="25">
        <f>SUM(E21:E25)</f>
        <v>67500</v>
      </c>
      <c r="F26" s="25">
        <f>F12-E26</f>
        <v>101250</v>
      </c>
      <c r="H26" s="9"/>
      <c r="I26" s="8"/>
      <c r="J26" s="8"/>
      <c r="K26" s="8"/>
      <c r="L26" s="8"/>
    </row>
    <row r="28" spans="2:13" ht="16" x14ac:dyDescent="0.2">
      <c r="B28" s="23" t="s">
        <v>43</v>
      </c>
      <c r="G28" s="7"/>
      <c r="H28" s="9"/>
    </row>
    <row r="29" spans="2:13" ht="31" customHeight="1" x14ac:dyDescent="0.2">
      <c r="B29" s="11" t="s">
        <v>24</v>
      </c>
      <c r="C29" s="12" t="s">
        <v>33</v>
      </c>
      <c r="D29" s="12" t="s">
        <v>39</v>
      </c>
      <c r="E29" s="12" t="s">
        <v>41</v>
      </c>
      <c r="F29" s="12" t="s">
        <v>49</v>
      </c>
      <c r="G29" s="7"/>
    </row>
    <row r="30" spans="2:13" s="7" customFormat="1" ht="16" x14ac:dyDescent="0.2">
      <c r="B30" s="29" t="s">
        <v>21</v>
      </c>
      <c r="C30" s="14">
        <f>F13</f>
        <v>250000</v>
      </c>
      <c r="D30" s="26">
        <v>0.17499999999999999</v>
      </c>
      <c r="E30" s="24">
        <f>C30*D30</f>
        <v>43750</v>
      </c>
      <c r="F30" s="24"/>
      <c r="H30" s="8"/>
      <c r="I30" s="8"/>
      <c r="J30" s="8"/>
      <c r="K30" s="8"/>
      <c r="L30" s="8"/>
    </row>
    <row r="31" spans="2:13" s="7" customFormat="1" ht="16" x14ac:dyDescent="0.2">
      <c r="B31" s="29" t="s">
        <v>23</v>
      </c>
      <c r="C31" s="14">
        <f>C30</f>
        <v>250000</v>
      </c>
      <c r="D31" s="17">
        <v>0.05</v>
      </c>
      <c r="E31" s="24">
        <f t="shared" ref="E31:E33" si="3">C31*D31</f>
        <v>12500</v>
      </c>
      <c r="F31" s="24"/>
      <c r="H31" s="8"/>
      <c r="I31" s="8"/>
      <c r="J31" s="8"/>
      <c r="K31" s="8"/>
      <c r="L31" s="8"/>
    </row>
    <row r="32" spans="2:13" s="7" customFormat="1" ht="16" x14ac:dyDescent="0.2">
      <c r="B32" s="29" t="s">
        <v>22</v>
      </c>
      <c r="C32" s="14">
        <f>C31</f>
        <v>250000</v>
      </c>
      <c r="D32" s="17">
        <v>0.1</v>
      </c>
      <c r="E32" s="24">
        <f t="shared" si="3"/>
        <v>25000</v>
      </c>
      <c r="F32" s="24"/>
      <c r="G32" s="6"/>
      <c r="H32" s="6"/>
      <c r="I32" s="8"/>
      <c r="J32" s="8"/>
      <c r="K32" s="8"/>
      <c r="L32" s="8"/>
    </row>
    <row r="33" spans="2:12" s="7" customFormat="1" ht="16" x14ac:dyDescent="0.2">
      <c r="B33" s="29" t="s">
        <v>40</v>
      </c>
      <c r="C33" s="14">
        <f>C32</f>
        <v>250000</v>
      </c>
      <c r="D33" s="17">
        <v>0.05</v>
      </c>
      <c r="E33" s="24">
        <f t="shared" si="3"/>
        <v>12500</v>
      </c>
      <c r="F33" s="24"/>
      <c r="H33" s="9"/>
      <c r="I33" s="8"/>
      <c r="J33" s="8"/>
      <c r="K33" s="8"/>
      <c r="L33" s="8"/>
    </row>
    <row r="34" spans="2:12" s="7" customFormat="1" ht="16" x14ac:dyDescent="0.2">
      <c r="B34" s="29" t="s">
        <v>46</v>
      </c>
      <c r="C34" s="14">
        <f>C33</f>
        <v>250000</v>
      </c>
      <c r="D34" s="26">
        <v>2.5000000000000001E-2</v>
      </c>
      <c r="E34" s="24">
        <f>C34*D34</f>
        <v>6250</v>
      </c>
      <c r="F34" s="24"/>
      <c r="H34" s="9"/>
      <c r="I34" s="8"/>
      <c r="J34" s="8"/>
      <c r="K34" s="8"/>
      <c r="L34" s="8"/>
    </row>
    <row r="35" spans="2:12" s="7" customFormat="1" ht="16" x14ac:dyDescent="0.2">
      <c r="B35" s="13"/>
      <c r="C35" s="18"/>
      <c r="D35" s="28">
        <f>SUM(D30:D34)</f>
        <v>0.39999999999999997</v>
      </c>
      <c r="E35" s="25">
        <f>SUM(E30:E34)</f>
        <v>100000</v>
      </c>
      <c r="F35" s="25">
        <f>F13-E35</f>
        <v>150000</v>
      </c>
      <c r="H35" s="9"/>
      <c r="I35" s="8"/>
      <c r="J35" s="8"/>
      <c r="K35" s="8"/>
      <c r="L35" s="8"/>
    </row>
    <row r="36" spans="2:12" x14ac:dyDescent="0.2">
      <c r="C36" s="1"/>
    </row>
    <row r="37" spans="2:12" ht="16" x14ac:dyDescent="0.2">
      <c r="B37" s="23" t="s">
        <v>44</v>
      </c>
      <c r="G37" s="7"/>
      <c r="H37" s="9"/>
    </row>
    <row r="38" spans="2:12" ht="31" customHeight="1" x14ac:dyDescent="0.2">
      <c r="B38" s="11" t="s">
        <v>24</v>
      </c>
      <c r="C38" s="12" t="s">
        <v>33</v>
      </c>
      <c r="D38" s="12" t="s">
        <v>39</v>
      </c>
      <c r="E38" s="12" t="s">
        <v>41</v>
      </c>
      <c r="F38" s="12" t="s">
        <v>49</v>
      </c>
      <c r="G38" s="7"/>
    </row>
    <row r="39" spans="2:12" s="7" customFormat="1" ht="16" x14ac:dyDescent="0.2">
      <c r="B39" s="29" t="s">
        <v>21</v>
      </c>
      <c r="C39" s="14">
        <f>F14</f>
        <v>810000</v>
      </c>
      <c r="D39" s="26">
        <v>0.17499999999999999</v>
      </c>
      <c r="E39" s="24">
        <f>C39*D39</f>
        <v>141750</v>
      </c>
      <c r="F39" s="24"/>
      <c r="H39" s="8"/>
      <c r="I39" s="8"/>
      <c r="J39" s="8"/>
      <c r="K39" s="8"/>
      <c r="L39" s="8"/>
    </row>
    <row r="40" spans="2:12" s="7" customFormat="1" ht="16" x14ac:dyDescent="0.2">
      <c r="B40" s="29" t="s">
        <v>23</v>
      </c>
      <c r="C40" s="14">
        <f>C39</f>
        <v>810000</v>
      </c>
      <c r="D40" s="17">
        <v>0.05</v>
      </c>
      <c r="E40" s="24">
        <f t="shared" ref="E40:E43" si="4">C40*D40</f>
        <v>40500</v>
      </c>
      <c r="F40" s="24"/>
      <c r="H40" s="8"/>
      <c r="I40" s="8"/>
      <c r="J40" s="8"/>
      <c r="K40" s="8"/>
      <c r="L40" s="8"/>
    </row>
    <row r="41" spans="2:12" s="7" customFormat="1" ht="16" x14ac:dyDescent="0.2">
      <c r="B41" s="29" t="s">
        <v>22</v>
      </c>
      <c r="C41" s="14">
        <f>C40</f>
        <v>810000</v>
      </c>
      <c r="D41" s="17">
        <v>0.1</v>
      </c>
      <c r="E41" s="24">
        <f t="shared" si="4"/>
        <v>81000</v>
      </c>
      <c r="F41" s="24"/>
      <c r="G41" s="6"/>
      <c r="H41" s="6"/>
      <c r="I41" s="8"/>
      <c r="J41" s="8"/>
      <c r="K41" s="8"/>
      <c r="L41" s="8"/>
    </row>
    <row r="42" spans="2:12" s="7" customFormat="1" ht="16" x14ac:dyDescent="0.2">
      <c r="B42" s="29" t="s">
        <v>40</v>
      </c>
      <c r="C42" s="14">
        <f>C41</f>
        <v>810000</v>
      </c>
      <c r="D42" s="17">
        <v>0.05</v>
      </c>
      <c r="E42" s="24">
        <f t="shared" si="4"/>
        <v>40500</v>
      </c>
      <c r="F42" s="24"/>
      <c r="H42" s="9"/>
      <c r="I42" s="8"/>
      <c r="J42" s="8"/>
      <c r="K42" s="8"/>
      <c r="L42" s="8"/>
    </row>
    <row r="43" spans="2:12" s="7" customFormat="1" ht="16" x14ac:dyDescent="0.2">
      <c r="B43" s="29" t="s">
        <v>46</v>
      </c>
      <c r="C43" s="14">
        <f>C42</f>
        <v>810000</v>
      </c>
      <c r="D43" s="26">
        <v>2.5000000000000001E-2</v>
      </c>
      <c r="E43" s="24">
        <f t="shared" si="4"/>
        <v>20250</v>
      </c>
      <c r="F43" s="24"/>
      <c r="H43" s="9"/>
      <c r="I43" s="8"/>
      <c r="J43" s="8"/>
      <c r="K43" s="8"/>
      <c r="L43" s="8"/>
    </row>
    <row r="44" spans="2:12" s="7" customFormat="1" ht="16" x14ac:dyDescent="0.2">
      <c r="B44" s="13"/>
      <c r="C44" s="18"/>
      <c r="D44" s="28">
        <f>SUM(D39:D43)</f>
        <v>0.39999999999999997</v>
      </c>
      <c r="E44" s="25">
        <f>SUM(E39:E43)</f>
        <v>324000</v>
      </c>
      <c r="F44" s="25">
        <f>F14-E44</f>
        <v>486000</v>
      </c>
      <c r="H44" s="9"/>
      <c r="I44" s="8"/>
      <c r="J44" s="8"/>
      <c r="K44" s="8"/>
      <c r="L44" s="8"/>
    </row>
    <row r="46" spans="2:12" ht="16" x14ac:dyDescent="0.2">
      <c r="B46" s="23" t="s">
        <v>45</v>
      </c>
      <c r="G46" s="7"/>
      <c r="H46" s="9"/>
    </row>
    <row r="47" spans="2:12" ht="31" customHeight="1" x14ac:dyDescent="0.2">
      <c r="B47" s="11" t="s">
        <v>24</v>
      </c>
      <c r="C47" s="12" t="s">
        <v>33</v>
      </c>
      <c r="D47" s="12" t="s">
        <v>39</v>
      </c>
      <c r="E47" s="12" t="s">
        <v>41</v>
      </c>
      <c r="F47" s="12" t="s">
        <v>49</v>
      </c>
      <c r="G47" s="7"/>
    </row>
    <row r="48" spans="2:12" s="7" customFormat="1" ht="16" x14ac:dyDescent="0.2">
      <c r="B48" s="29" t="s">
        <v>21</v>
      </c>
      <c r="C48" s="14">
        <f>F15</f>
        <v>1690000</v>
      </c>
      <c r="D48" s="26">
        <v>0.17499999999999999</v>
      </c>
      <c r="E48" s="24">
        <f>C48*D48</f>
        <v>295750</v>
      </c>
      <c r="F48" s="24"/>
      <c r="H48" s="8"/>
      <c r="I48" s="8"/>
      <c r="J48" s="8"/>
      <c r="K48" s="8"/>
      <c r="L48" s="8"/>
    </row>
    <row r="49" spans="2:12" s="7" customFormat="1" ht="16" x14ac:dyDescent="0.2">
      <c r="B49" s="29" t="s">
        <v>23</v>
      </c>
      <c r="C49" s="14">
        <f>C48</f>
        <v>1690000</v>
      </c>
      <c r="D49" s="17">
        <v>0.05</v>
      </c>
      <c r="E49" s="24">
        <f t="shared" ref="E49:E52" si="5">C49*D49</f>
        <v>84500</v>
      </c>
      <c r="F49" s="24"/>
      <c r="H49" s="8"/>
      <c r="I49" s="8"/>
      <c r="J49" s="8"/>
      <c r="K49" s="8"/>
      <c r="L49" s="8"/>
    </row>
    <row r="50" spans="2:12" s="7" customFormat="1" ht="16" x14ac:dyDescent="0.2">
      <c r="B50" s="29" t="s">
        <v>22</v>
      </c>
      <c r="C50" s="14">
        <f>C49</f>
        <v>1690000</v>
      </c>
      <c r="D50" s="17">
        <v>0.1</v>
      </c>
      <c r="E50" s="24">
        <f t="shared" si="5"/>
        <v>169000</v>
      </c>
      <c r="F50" s="24"/>
      <c r="G50" s="6"/>
      <c r="H50" s="6"/>
      <c r="I50" s="8"/>
      <c r="J50" s="8"/>
      <c r="K50" s="8"/>
      <c r="L50" s="8"/>
    </row>
    <row r="51" spans="2:12" s="7" customFormat="1" ht="16" x14ac:dyDescent="0.2">
      <c r="B51" s="29" t="s">
        <v>40</v>
      </c>
      <c r="C51" s="14">
        <f>C50</f>
        <v>1690000</v>
      </c>
      <c r="D51" s="17">
        <v>0.05</v>
      </c>
      <c r="E51" s="24">
        <f t="shared" si="5"/>
        <v>84500</v>
      </c>
      <c r="F51" s="24"/>
      <c r="H51" s="9"/>
      <c r="I51" s="8"/>
      <c r="J51" s="8"/>
      <c r="K51" s="8"/>
      <c r="L51" s="8"/>
    </row>
    <row r="52" spans="2:12" s="7" customFormat="1" ht="16" x14ac:dyDescent="0.2">
      <c r="B52" s="29" t="s">
        <v>46</v>
      </c>
      <c r="C52" s="14">
        <f>C51</f>
        <v>1690000</v>
      </c>
      <c r="D52" s="26">
        <v>2.5000000000000001E-2</v>
      </c>
      <c r="E52" s="24">
        <f t="shared" si="5"/>
        <v>42250</v>
      </c>
      <c r="F52" s="24"/>
      <c r="H52" s="9"/>
      <c r="I52" s="8"/>
      <c r="J52" s="8"/>
      <c r="K52" s="8"/>
      <c r="L52" s="8"/>
    </row>
    <row r="53" spans="2:12" s="7" customFormat="1" ht="16" x14ac:dyDescent="0.2">
      <c r="B53" s="13"/>
      <c r="C53" s="18"/>
      <c r="D53" s="28">
        <f>SUM(D48:D52)</f>
        <v>0.39999999999999997</v>
      </c>
      <c r="E53" s="25">
        <f>SUM(E48:E52)</f>
        <v>676000</v>
      </c>
      <c r="F53" s="25">
        <f>F15-E53</f>
        <v>1014000</v>
      </c>
      <c r="H53" s="9"/>
      <c r="I53" s="8"/>
      <c r="J53" s="8"/>
      <c r="K53" s="8"/>
      <c r="L53" s="8"/>
    </row>
  </sheetData>
  <pageMargins left="0.7" right="0.7" top="0.75" bottom="0.75" header="0.3" footer="0.3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69765F-E45D-A947-81A9-0C5220986622}">
  <dimension ref="B2:F37"/>
  <sheetViews>
    <sheetView workbookViewId="0">
      <selection activeCell="A3" sqref="A3:XFD20"/>
    </sheetView>
  </sheetViews>
  <sheetFormatPr baseColWidth="10" defaultRowHeight="15" x14ac:dyDescent="0.2"/>
  <cols>
    <col min="2" max="2" width="18.83203125" customWidth="1"/>
    <col min="3" max="3" width="36" customWidth="1"/>
    <col min="4" max="4" width="22.5" customWidth="1"/>
  </cols>
  <sheetData>
    <row r="2" spans="2:6" ht="16" thickBot="1" x14ac:dyDescent="0.25"/>
    <row r="3" spans="2:6" ht="29" customHeight="1" thickBot="1" x14ac:dyDescent="0.25">
      <c r="B3" s="42" t="s">
        <v>63</v>
      </c>
      <c r="C3" s="43"/>
      <c r="D3" s="44"/>
      <c r="E3" s="7"/>
      <c r="F3" s="7"/>
    </row>
    <row r="4" spans="2:6" ht="16" x14ac:dyDescent="0.2">
      <c r="B4" s="34" t="s">
        <v>52</v>
      </c>
      <c r="C4" s="34" t="s">
        <v>50</v>
      </c>
      <c r="D4" s="34" t="s">
        <v>51</v>
      </c>
      <c r="E4" s="7"/>
      <c r="F4" s="7"/>
    </row>
    <row r="5" spans="2:6" ht="17" x14ac:dyDescent="0.2">
      <c r="B5" s="39" t="s">
        <v>53</v>
      </c>
      <c r="C5" s="35" t="s">
        <v>57</v>
      </c>
      <c r="D5" s="36">
        <v>500000</v>
      </c>
      <c r="E5" s="7"/>
      <c r="F5" s="7"/>
    </row>
    <row r="6" spans="2:6" ht="17" x14ac:dyDescent="0.2">
      <c r="B6" s="40"/>
      <c r="C6" s="35" t="s">
        <v>58</v>
      </c>
      <c r="D6" s="37"/>
      <c r="E6" s="7"/>
      <c r="F6" s="7"/>
    </row>
    <row r="7" spans="2:6" ht="17" x14ac:dyDescent="0.2">
      <c r="B7" s="40"/>
      <c r="C7" s="35" t="s">
        <v>59</v>
      </c>
      <c r="D7" s="37"/>
      <c r="E7" s="7"/>
      <c r="F7" s="7"/>
    </row>
    <row r="8" spans="2:6" ht="17" x14ac:dyDescent="0.2">
      <c r="B8" s="40"/>
      <c r="C8" s="35" t="s">
        <v>60</v>
      </c>
      <c r="D8" s="37"/>
      <c r="E8" s="7"/>
      <c r="F8" s="7"/>
    </row>
    <row r="9" spans="2:6" ht="17" x14ac:dyDescent="0.2">
      <c r="B9" s="40"/>
      <c r="C9" s="35" t="s">
        <v>61</v>
      </c>
      <c r="D9" s="37"/>
      <c r="E9" s="7"/>
      <c r="F9" s="7"/>
    </row>
    <row r="10" spans="2:6" ht="17" x14ac:dyDescent="0.2">
      <c r="B10" s="41"/>
      <c r="C10" s="35" t="s">
        <v>62</v>
      </c>
      <c r="D10" s="38"/>
      <c r="E10" s="7"/>
      <c r="F10" s="7"/>
    </row>
    <row r="11" spans="2:6" ht="16" x14ac:dyDescent="0.2">
      <c r="B11" s="30" t="s">
        <v>54</v>
      </c>
      <c r="C11" s="30"/>
      <c r="D11" s="14">
        <v>1000000</v>
      </c>
      <c r="E11" s="7"/>
      <c r="F11" s="7"/>
    </row>
    <row r="12" spans="2:6" ht="16" x14ac:dyDescent="0.2">
      <c r="B12" s="30"/>
      <c r="C12" s="30"/>
      <c r="D12" s="14"/>
      <c r="E12" s="7"/>
      <c r="F12" s="7"/>
    </row>
    <row r="13" spans="2:6" ht="16" x14ac:dyDescent="0.2">
      <c r="B13" s="30"/>
      <c r="C13" s="30"/>
      <c r="D13" s="14"/>
      <c r="E13" s="7"/>
      <c r="F13" s="7"/>
    </row>
    <row r="14" spans="2:6" ht="16" x14ac:dyDescent="0.2">
      <c r="B14" s="30"/>
      <c r="C14" s="30"/>
      <c r="D14" s="14"/>
      <c r="E14" s="7"/>
      <c r="F14" s="7"/>
    </row>
    <row r="15" spans="2:6" ht="16" x14ac:dyDescent="0.2">
      <c r="B15" s="30"/>
      <c r="C15" s="30"/>
      <c r="D15" s="14"/>
      <c r="E15" s="7"/>
      <c r="F15" s="7"/>
    </row>
    <row r="16" spans="2:6" ht="16" x14ac:dyDescent="0.2">
      <c r="B16" s="30" t="s">
        <v>55</v>
      </c>
      <c r="C16" s="30"/>
      <c r="D16" s="14">
        <v>2000000</v>
      </c>
      <c r="E16" s="7"/>
      <c r="F16" s="7"/>
    </row>
    <row r="17" spans="2:6" ht="16" x14ac:dyDescent="0.2">
      <c r="B17" s="30" t="s">
        <v>56</v>
      </c>
      <c r="C17" s="30"/>
      <c r="D17" s="14">
        <v>4000000</v>
      </c>
      <c r="E17" s="7"/>
      <c r="F17" s="7"/>
    </row>
    <row r="18" spans="2:6" ht="16" x14ac:dyDescent="0.2">
      <c r="B18" s="30"/>
      <c r="C18" s="30"/>
      <c r="D18" s="30"/>
      <c r="E18" s="7"/>
      <c r="F18" s="7"/>
    </row>
    <row r="19" spans="2:6" ht="16" x14ac:dyDescent="0.2">
      <c r="B19" s="30"/>
      <c r="C19" s="30"/>
      <c r="D19" s="30"/>
      <c r="E19" s="7"/>
      <c r="F19" s="7"/>
    </row>
    <row r="20" spans="2:6" ht="16" x14ac:dyDescent="0.2">
      <c r="B20" s="7"/>
      <c r="C20" s="7"/>
      <c r="D20" s="7"/>
      <c r="E20" s="7"/>
      <c r="F20" s="7"/>
    </row>
    <row r="21" spans="2:6" ht="16" x14ac:dyDescent="0.2">
      <c r="B21" s="7"/>
      <c r="C21" s="7"/>
      <c r="D21" s="7"/>
      <c r="E21" s="7"/>
      <c r="F21" s="7"/>
    </row>
    <row r="22" spans="2:6" ht="16" x14ac:dyDescent="0.2">
      <c r="B22" s="7"/>
      <c r="C22" s="7"/>
      <c r="D22" s="7"/>
      <c r="E22" s="7"/>
      <c r="F22" s="7"/>
    </row>
    <row r="23" spans="2:6" ht="16" x14ac:dyDescent="0.2">
      <c r="B23" s="7"/>
      <c r="C23" s="7"/>
      <c r="D23" s="7"/>
      <c r="E23" s="7"/>
      <c r="F23" s="7"/>
    </row>
    <row r="24" spans="2:6" ht="16" x14ac:dyDescent="0.2">
      <c r="B24" s="7"/>
      <c r="C24" s="7"/>
      <c r="D24" s="7"/>
      <c r="E24" s="7"/>
      <c r="F24" s="7"/>
    </row>
    <row r="25" spans="2:6" ht="16" x14ac:dyDescent="0.2">
      <c r="B25" s="7"/>
      <c r="C25" s="7"/>
      <c r="D25" s="7"/>
      <c r="E25" s="7"/>
      <c r="F25" s="7"/>
    </row>
    <row r="26" spans="2:6" ht="16" x14ac:dyDescent="0.2">
      <c r="B26" s="7"/>
      <c r="C26" s="7"/>
      <c r="D26" s="7"/>
      <c r="E26" s="7"/>
      <c r="F26" s="7"/>
    </row>
    <row r="27" spans="2:6" ht="16" x14ac:dyDescent="0.2">
      <c r="B27" s="7"/>
      <c r="C27" s="7"/>
      <c r="D27" s="7"/>
      <c r="E27" s="7"/>
      <c r="F27" s="7"/>
    </row>
    <row r="28" spans="2:6" ht="16" x14ac:dyDescent="0.2">
      <c r="B28" s="7"/>
      <c r="C28" s="7"/>
      <c r="D28" s="7"/>
      <c r="E28" s="7"/>
      <c r="F28" s="7"/>
    </row>
    <row r="29" spans="2:6" ht="16" x14ac:dyDescent="0.2">
      <c r="B29" s="7"/>
      <c r="C29" s="7"/>
      <c r="D29" s="7"/>
      <c r="E29" s="7"/>
      <c r="F29" s="7"/>
    </row>
    <row r="30" spans="2:6" ht="16" x14ac:dyDescent="0.2">
      <c r="B30" s="7"/>
      <c r="C30" s="7"/>
      <c r="D30" s="7"/>
      <c r="E30" s="7"/>
      <c r="F30" s="7"/>
    </row>
    <row r="31" spans="2:6" ht="16" x14ac:dyDescent="0.2">
      <c r="B31" s="7"/>
      <c r="C31" s="7"/>
      <c r="D31" s="7"/>
      <c r="E31" s="7"/>
      <c r="F31" s="7"/>
    </row>
    <row r="32" spans="2:6" ht="16" x14ac:dyDescent="0.2">
      <c r="B32" s="7"/>
      <c r="C32" s="7"/>
      <c r="D32" s="7"/>
      <c r="E32" s="7"/>
      <c r="F32" s="7"/>
    </row>
    <row r="33" spans="2:6" ht="16" x14ac:dyDescent="0.2">
      <c r="B33" s="7"/>
      <c r="C33" s="7"/>
      <c r="D33" s="7"/>
      <c r="E33" s="7"/>
      <c r="F33" s="7"/>
    </row>
    <row r="34" spans="2:6" ht="16" x14ac:dyDescent="0.2">
      <c r="B34" s="7"/>
      <c r="C34" s="7"/>
      <c r="D34" s="7"/>
      <c r="E34" s="7"/>
      <c r="F34" s="7"/>
    </row>
    <row r="35" spans="2:6" ht="16" x14ac:dyDescent="0.2">
      <c r="B35" s="7"/>
      <c r="C35" s="7"/>
      <c r="D35" s="7"/>
      <c r="E35" s="7"/>
      <c r="F35" s="7"/>
    </row>
    <row r="36" spans="2:6" ht="16" x14ac:dyDescent="0.2">
      <c r="B36" s="7"/>
      <c r="C36" s="7"/>
      <c r="D36" s="7"/>
      <c r="E36" s="7"/>
      <c r="F36" s="7"/>
    </row>
    <row r="37" spans="2:6" ht="16" x14ac:dyDescent="0.2">
      <c r="B37" s="7"/>
      <c r="C37" s="7"/>
      <c r="D37" s="7"/>
      <c r="E37" s="7"/>
      <c r="F37" s="7"/>
    </row>
  </sheetData>
  <mergeCells count="3">
    <mergeCell ref="B3:D3"/>
    <mergeCell ref="D5:D10"/>
    <mergeCell ref="B5:B10"/>
  </mergeCells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HPP</vt:lpstr>
      <vt:lpstr>Komparatif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Zamzam Muzamil</dc:creator>
  <cp:lastModifiedBy>Microsoft Office User</cp:lastModifiedBy>
  <dcterms:created xsi:type="dcterms:W3CDTF">2026-09-13T05:06:48Z</dcterms:created>
  <dcterms:modified xsi:type="dcterms:W3CDTF">2026-09-13T04:41:03Z</dcterms:modified>
</cp:coreProperties>
</file>